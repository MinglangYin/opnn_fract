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.brown.edu\Home\sgoswam5\Desktop\"/>
    </mc:Choice>
  </mc:AlternateContent>
  <xr:revisionPtr revIDLastSave="0" documentId="10_ncr:0_{3CF3301A-C8EA-4F8E-9B6B-2F0B6886154C}" xr6:coauthVersionLast="36" xr6:coauthVersionMax="36" xr10:uidLastSave="{00000000-0000-0000-0000-000000000000}"/>
  <bookViews>
    <workbookView xWindow="0" yWindow="0" windowWidth="28800" windowHeight="12225" xr2:uid="{98D75C60-F88B-4F38-A76F-B55851051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" i="1" l="1"/>
  <c r="L8" i="1"/>
  <c r="L7" i="1"/>
  <c r="L6" i="1"/>
  <c r="L5" i="1"/>
  <c r="L4" i="1"/>
  <c r="L3" i="1"/>
  <c r="J10" i="1"/>
  <c r="J9" i="1"/>
  <c r="J8" i="1"/>
  <c r="J7" i="1"/>
  <c r="J6" i="1"/>
  <c r="J5" i="1"/>
  <c r="J4" i="1"/>
  <c r="J3" i="1"/>
  <c r="H13" i="1"/>
  <c r="H12" i="1"/>
  <c r="H11" i="1"/>
  <c r="H10" i="1"/>
  <c r="H9" i="1"/>
  <c r="H8" i="1"/>
  <c r="H7" i="1"/>
  <c r="H6" i="1"/>
  <c r="H5" i="1"/>
  <c r="H4" i="1"/>
  <c r="H3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D8" i="1"/>
  <c r="D7" i="1"/>
  <c r="D6" i="1"/>
  <c r="D5" i="1"/>
  <c r="D4" i="1"/>
  <c r="D3" i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3" i="1"/>
  <c r="B4" i="1" s="1"/>
  <c r="B5" i="1" s="1"/>
  <c r="B6" i="1" s="1"/>
  <c r="B7" i="1" s="1"/>
  <c r="B8" i="1" s="1"/>
  <c r="B9" i="1" s="1"/>
  <c r="B10" i="1" s="1"/>
</calcChain>
</file>

<file path=xl/sharedStrings.xml><?xml version="1.0" encoding="utf-8"?>
<sst xmlns="http://schemas.openxmlformats.org/spreadsheetml/2006/main" count="2" uniqueCount="2">
  <si>
    <t>Dfacto1</t>
  </si>
  <si>
    <t>Displacement steps for the saved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</si>
</sst>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11" fontId="1" fillId="0" borderId="0" xfId="0" applyNumberFormat="1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B1DB-E917-4C0B-9582-5D2D304D07CB}">
  <dimension ref="A1:P25"/>
  <sheetViews>
    <sheetView tabSelected="1" workbookViewId="0">
      <selection activeCell="Q16" sqref="Q16"/>
    </sheetView>
  </sheetViews>
  <sheetFormatPr defaultRowHeight="15" x14ac:dyDescent="0.25"/>
  <cols>
    <col min="1" max="1" width="10.85546875" customWidth="1"/>
  </cols>
  <sheetData>
    <row r="1" spans="1:16" ht="19.5" x14ac:dyDescent="0.3">
      <c r="A1" s="4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6"/>
      <c r="N1" s="6"/>
      <c r="O1" s="6"/>
      <c r="P1" s="6"/>
    </row>
    <row r="2" spans="1:16" x14ac:dyDescent="0.25">
      <c r="A2" s="1" t="s">
        <v>0</v>
      </c>
      <c r="B2" s="5">
        <v>1.0000000000000001E-5</v>
      </c>
      <c r="D2" s="5">
        <v>1.1E-4</v>
      </c>
      <c r="F2" s="5">
        <v>4.2000000000000002E-4</v>
      </c>
      <c r="H2" s="5">
        <v>6.0999999999999997E-4</v>
      </c>
      <c r="J2" s="5">
        <v>9.1E-4</v>
      </c>
      <c r="L2" s="5">
        <v>1E-3</v>
      </c>
    </row>
    <row r="3" spans="1:16" x14ac:dyDescent="0.25">
      <c r="B3">
        <f>30*0.00001</f>
        <v>3.0000000000000003E-4</v>
      </c>
      <c r="D3">
        <f>10*0.00011</f>
        <v>1.1000000000000001E-3</v>
      </c>
      <c r="F3">
        <f>0.00042*1</f>
        <v>4.2000000000000002E-4</v>
      </c>
      <c r="H3" s="3">
        <f>0.00061*1</f>
        <v>6.0999999999999997E-4</v>
      </c>
      <c r="J3">
        <f>1*0.00091</f>
        <v>9.1E-4</v>
      </c>
      <c r="L3">
        <f>1*0.001</f>
        <v>1E-3</v>
      </c>
    </row>
    <row r="4" spans="1:16" x14ac:dyDescent="0.25">
      <c r="B4">
        <f>B3+30*0.00001</f>
        <v>6.0000000000000006E-4</v>
      </c>
      <c r="D4">
        <f>D3+10*0.0001</f>
        <v>2.1000000000000003E-3</v>
      </c>
      <c r="F4">
        <f>0.00042*2</f>
        <v>8.4000000000000003E-4</v>
      </c>
      <c r="G4" s="2"/>
      <c r="H4">
        <f>0.00061*2</f>
        <v>1.2199999999999999E-3</v>
      </c>
      <c r="J4">
        <f>2*0.00091</f>
        <v>1.82E-3</v>
      </c>
      <c r="L4">
        <f>2*0.001</f>
        <v>2E-3</v>
      </c>
    </row>
    <row r="5" spans="1:16" x14ac:dyDescent="0.25">
      <c r="B5">
        <f>B4+30*0.00001</f>
        <v>9.0000000000000008E-4</v>
      </c>
      <c r="D5">
        <f>D4+10*0.0001</f>
        <v>3.1000000000000003E-3</v>
      </c>
      <c r="F5">
        <f>0.00042*3</f>
        <v>1.2600000000000001E-3</v>
      </c>
      <c r="H5">
        <f>0.00061*3</f>
        <v>1.83E-3</v>
      </c>
      <c r="J5">
        <f>3*0.00091</f>
        <v>2.7299999999999998E-3</v>
      </c>
      <c r="L5">
        <f>3*0.001</f>
        <v>3.0000000000000001E-3</v>
      </c>
    </row>
    <row r="6" spans="1:16" x14ac:dyDescent="0.25">
      <c r="B6">
        <f>B5+30*0.00001</f>
        <v>1.2000000000000001E-3</v>
      </c>
      <c r="D6">
        <f>D5+10*0.0001</f>
        <v>4.1000000000000003E-3</v>
      </c>
      <c r="F6">
        <f>0.00042*4</f>
        <v>1.6800000000000001E-3</v>
      </c>
      <c r="H6">
        <f>0.00061*5</f>
        <v>3.0499999999999998E-3</v>
      </c>
      <c r="J6">
        <f>4*0.00091</f>
        <v>3.64E-3</v>
      </c>
      <c r="L6">
        <f>4*0.001</f>
        <v>4.0000000000000001E-3</v>
      </c>
    </row>
    <row r="7" spans="1:16" x14ac:dyDescent="0.25">
      <c r="B7">
        <f>B6+30*0.00001</f>
        <v>1.5E-3</v>
      </c>
      <c r="D7">
        <f>D6+10*0.0001</f>
        <v>5.1000000000000004E-3</v>
      </c>
      <c r="F7">
        <f>0.00042*5</f>
        <v>2.1000000000000003E-3</v>
      </c>
      <c r="H7">
        <f>0.00061*6</f>
        <v>3.6600000000000001E-3</v>
      </c>
      <c r="J7">
        <f>5*0.00091</f>
        <v>4.5500000000000002E-3</v>
      </c>
      <c r="L7">
        <f>5*0.001</f>
        <v>5.0000000000000001E-3</v>
      </c>
    </row>
    <row r="8" spans="1:16" x14ac:dyDescent="0.25">
      <c r="B8" s="3">
        <f>B7+30*0.00001</f>
        <v>1.8E-3</v>
      </c>
      <c r="D8">
        <f>D7+10*0.0001</f>
        <v>6.1000000000000004E-3</v>
      </c>
      <c r="F8">
        <f>0.00042*6</f>
        <v>2.5200000000000001E-3</v>
      </c>
      <c r="H8">
        <f>0.00061*7</f>
        <v>4.2699999999999995E-3</v>
      </c>
      <c r="J8">
        <f>6*0.00091</f>
        <v>5.4599999999999996E-3</v>
      </c>
      <c r="L8">
        <f>6*0.001</f>
        <v>6.0000000000000001E-3</v>
      </c>
    </row>
    <row r="9" spans="1:16" x14ac:dyDescent="0.25">
      <c r="B9">
        <f>B8+30*0.00001</f>
        <v>2.0999999999999999E-3</v>
      </c>
      <c r="F9">
        <f>0.00042*7</f>
        <v>2.9399999999999999E-3</v>
      </c>
      <c r="H9">
        <f>0.00061*8</f>
        <v>4.8799999999999998E-3</v>
      </c>
      <c r="J9">
        <f>7*0.00091</f>
        <v>6.3699999999999998E-3</v>
      </c>
      <c r="L9">
        <f>7*0.001</f>
        <v>7.0000000000000001E-3</v>
      </c>
    </row>
    <row r="10" spans="1:16" x14ac:dyDescent="0.25">
      <c r="B10">
        <f>B9+30*0.00001</f>
        <v>2.3999999999999998E-3</v>
      </c>
      <c r="F10">
        <f>0.00042*8</f>
        <v>3.3600000000000001E-3</v>
      </c>
      <c r="H10">
        <f>0.00061*9</f>
        <v>5.4900000000000001E-3</v>
      </c>
      <c r="J10">
        <f>8*0.00091</f>
        <v>7.28E-3</v>
      </c>
    </row>
    <row r="11" spans="1:16" x14ac:dyDescent="0.25">
      <c r="B11">
        <f>B10+30*0.00001</f>
        <v>2.6999999999999997E-3</v>
      </c>
      <c r="F11">
        <f>0.00042*9</f>
        <v>3.7800000000000004E-3</v>
      </c>
      <c r="H11">
        <f>0.00061*10</f>
        <v>6.0999999999999995E-3</v>
      </c>
    </row>
    <row r="12" spans="1:16" x14ac:dyDescent="0.25">
      <c r="B12">
        <f>B11+30*0.00001</f>
        <v>2.9999999999999996E-3</v>
      </c>
      <c r="F12">
        <f>0.00042*10</f>
        <v>4.2000000000000006E-3</v>
      </c>
      <c r="H12">
        <f>0.00061*11</f>
        <v>6.7099999999999998E-3</v>
      </c>
    </row>
    <row r="13" spans="1:16" x14ac:dyDescent="0.25">
      <c r="B13">
        <f>B12+30*0.00001</f>
        <v>3.2999999999999995E-3</v>
      </c>
      <c r="F13">
        <f>0.00042*11</f>
        <v>4.62E-3</v>
      </c>
      <c r="H13">
        <f>0.00061*12</f>
        <v>7.3200000000000001E-3</v>
      </c>
    </row>
    <row r="14" spans="1:16" x14ac:dyDescent="0.25">
      <c r="B14">
        <f>B13+30*0.00001</f>
        <v>3.5999999999999995E-3</v>
      </c>
      <c r="F14">
        <f>0.00042*12</f>
        <v>5.0400000000000002E-3</v>
      </c>
    </row>
    <row r="15" spans="1:16" x14ac:dyDescent="0.25">
      <c r="B15">
        <f>B14+30*0.00001</f>
        <v>3.8999999999999994E-3</v>
      </c>
      <c r="F15">
        <f>0.00042*13</f>
        <v>5.4600000000000004E-3</v>
      </c>
    </row>
    <row r="16" spans="1:16" x14ac:dyDescent="0.25">
      <c r="B16">
        <f>B15+30*0.00001</f>
        <v>4.1999999999999997E-3</v>
      </c>
      <c r="F16">
        <f>0.00042*14</f>
        <v>5.8799999999999998E-3</v>
      </c>
    </row>
    <row r="17" spans="2:6" x14ac:dyDescent="0.25">
      <c r="B17">
        <f>B16+30*0.00001</f>
        <v>4.4999999999999997E-3</v>
      </c>
      <c r="F17">
        <f>0.00042*15</f>
        <v>6.3E-3</v>
      </c>
    </row>
    <row r="18" spans="2:6" x14ac:dyDescent="0.25">
      <c r="B18">
        <f>B17+30*0.00001</f>
        <v>4.7999999999999996E-3</v>
      </c>
      <c r="F18">
        <f>0.00042*16</f>
        <v>6.7200000000000003E-3</v>
      </c>
    </row>
    <row r="19" spans="2:6" x14ac:dyDescent="0.25">
      <c r="B19">
        <f>B18+30*0.00001</f>
        <v>5.0999999999999995E-3</v>
      </c>
      <c r="F19">
        <f>0.00042*17</f>
        <v>7.1400000000000005E-3</v>
      </c>
    </row>
    <row r="20" spans="2:6" x14ac:dyDescent="0.25">
      <c r="B20">
        <f>B19+30*0.00001</f>
        <v>5.3999999999999994E-3</v>
      </c>
    </row>
    <row r="21" spans="2:6" x14ac:dyDescent="0.25">
      <c r="B21">
        <f>B20+30*0.00001</f>
        <v>5.6999999999999993E-3</v>
      </c>
    </row>
    <row r="22" spans="2:6" x14ac:dyDescent="0.25">
      <c r="B22">
        <f>B21+30*0.00001</f>
        <v>5.9999999999999993E-3</v>
      </c>
    </row>
    <row r="23" spans="2:6" x14ac:dyDescent="0.25">
      <c r="B23">
        <f>B22+30*0.00001</f>
        <v>6.2999999999999992E-3</v>
      </c>
    </row>
    <row r="24" spans="2:6" x14ac:dyDescent="0.25">
      <c r="B24">
        <f>B23+30*0.00001</f>
        <v>6.5999999999999991E-3</v>
      </c>
    </row>
    <row r="25" spans="2:6" x14ac:dyDescent="0.25">
      <c r="B25">
        <f>B24+30*0.00001</f>
        <v>6.899999999999999E-3</v>
      </c>
    </row>
  </sheetData>
  <mergeCells count="1">
    <mergeCell ref="A1:L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Brown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Goswami, Somdatta</dc:creator>
  <cp:lastModifiedBy>Goswami, Somdatta</cp:lastModifiedBy>
  <dcterms:created xsi:type="dcterms:W3CDTF">2021-02-12T18:08:16Z</dcterms:created>
  <dcterms:modified xsi:type="dcterms:W3CDTF">2021-02-12T18:49:17Z</dcterms:modified>
</cp:coreProperties>
</file>